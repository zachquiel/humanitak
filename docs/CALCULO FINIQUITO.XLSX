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57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\Desktop\"/>
    </mc:Choice>
  </mc:AlternateContent>
  <bookViews>
    <workbookView xWindow="360" yWindow="1176" windowWidth="15312" windowHeight="7896"/>
  </bookViews>
  <sheets>
    <sheet name="Nancy Perez" sheetId="2" r:id="rId1"/>
  </sheets>
  <calcPr calcId="171027"/>
</workbook>
</file>

<file path=xl/calcChain.xml><?xml version="1.0" encoding="utf-8"?>
<calcChain xmlns="http://schemas.openxmlformats.org/spreadsheetml/2006/main">
  <c r="D12" i="2" l="1"/>
  <c r="D11" i="2"/>
  <c r="E10" i="2"/>
  <c r="E12" i="2" l="1"/>
  <c r="E13" i="2" s="1"/>
  <c r="E11" i="2"/>
  <c r="E14" i="2" s="1"/>
  <c r="E15" i="2" l="1"/>
  <c r="E16" i="2" s="1"/>
  <c r="E17" i="2" l="1"/>
  <c r="E18" i="2" s="1"/>
</calcChain>
</file>

<file path=xl/sharedStrings.xml><?xml version="1.0" encoding="utf-8"?>
<sst xmlns="http://schemas.openxmlformats.org/spreadsheetml/2006/main" count="27" uniqueCount="21">
  <si>
    <t>Aguinaldo</t>
  </si>
  <si>
    <t>Vacaciones</t>
  </si>
  <si>
    <t>Salario diario</t>
  </si>
  <si>
    <t>Fecha de ingreso</t>
  </si>
  <si>
    <t>Fecha de baja</t>
  </si>
  <si>
    <t>CONCEPTO</t>
  </si>
  <si>
    <t>CANTIDAD A PAGAR</t>
  </si>
  <si>
    <t>PROPORCIÓN EN DIAS</t>
  </si>
  <si>
    <t>DIAS LABORADOS</t>
  </si>
  <si>
    <t>Empleado</t>
  </si>
  <si>
    <t>Prima Vacacional</t>
  </si>
  <si>
    <t>Total Finiquito</t>
  </si>
  <si>
    <t>Comisión</t>
  </si>
  <si>
    <t>Subtotal</t>
  </si>
  <si>
    <t>IVA</t>
  </si>
  <si>
    <t>Total factura</t>
  </si>
  <si>
    <t>(=)</t>
  </si>
  <si>
    <t>(+)</t>
  </si>
  <si>
    <t>Nancy Perez Sanchez</t>
  </si>
  <si>
    <t>Sueldo del 16 al 31 de Agosto</t>
  </si>
  <si>
    <t>BAJA POR RENUNCIA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</si>
</sst>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 applyBorder="1" applyAlignment="1">
      <alignment horizontal="center"/>
    </xf>
    <xf numFmtId="44" fontId="0" fillId="2" borderId="0" xfId="1" applyFont="1" applyFill="1" applyBorder="1"/>
    <xf numFmtId="0" fontId="2" fillId="2" borderId="1" xfId="0" applyFont="1" applyFill="1" applyBorder="1"/>
    <xf numFmtId="0" fontId="2" fillId="2" borderId="0" xfId="0" applyFont="1" applyFill="1" applyBorder="1"/>
    <xf numFmtId="0" fontId="0" fillId="2" borderId="0" xfId="0" applyFill="1" applyBorder="1"/>
    <xf numFmtId="0" fontId="0" fillId="2" borderId="8" xfId="0" applyFill="1" applyBorder="1"/>
    <xf numFmtId="14" fontId="0" fillId="2" borderId="0" xfId="0" applyNumberFormat="1" applyFill="1" applyBorder="1"/>
    <xf numFmtId="0" fontId="0" fillId="2" borderId="7" xfId="0" applyFill="1" applyBorder="1"/>
    <xf numFmtId="2" fontId="0" fillId="2" borderId="0" xfId="0" applyNumberFormat="1" applyFill="1" applyBorder="1" applyAlignment="1">
      <alignment horizontal="center"/>
    </xf>
    <xf numFmtId="44" fontId="2" fillId="2" borderId="0" xfId="1" applyFont="1" applyFill="1" applyBorder="1"/>
    <xf numFmtId="0" fontId="2" fillId="2" borderId="0" xfId="0" applyFont="1" applyFill="1" applyBorder="1" applyAlignment="1"/>
    <xf numFmtId="17" fontId="0" fillId="0" borderId="0" xfId="0" applyNumberFormat="1"/>
    <xf numFmtId="0" fontId="3" fillId="2" borderId="0" xfId="0" applyFont="1" applyFill="1" applyBorder="1"/>
    <xf numFmtId="0" fontId="2" fillId="2" borderId="10" xfId="0" applyFont="1" applyFill="1" applyBorder="1"/>
    <xf numFmtId="9" fontId="0" fillId="2" borderId="10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44" fontId="0" fillId="2" borderId="10" xfId="1" applyFont="1" applyFill="1" applyBorder="1"/>
    <xf numFmtId="44" fontId="2" fillId="2" borderId="0" xfId="0" applyNumberFormat="1" applyFont="1" applyFill="1"/>
    <xf numFmtId="0" fontId="0" fillId="2" borderId="1" xfId="0" applyFill="1" applyBorder="1"/>
    <xf numFmtId="0" fontId="0" fillId="2" borderId="0" xfId="0" applyFill="1"/>
    <xf numFmtId="44" fontId="0" fillId="2" borderId="0" xfId="0" applyNumberFormat="1" applyFill="1"/>
    <xf numFmtId="0" fontId="0" fillId="2" borderId="0" xfId="0" applyFont="1" applyFill="1" applyBorder="1"/>
    <xf numFmtId="0" fontId="3" fillId="2" borderId="10" xfId="0" applyFont="1" applyFill="1" applyBorder="1"/>
    <xf numFmtId="44" fontId="0" fillId="2" borderId="1" xfId="0" applyNumberFormat="1" applyFont="1" applyFill="1" applyBorder="1"/>
    <xf numFmtId="0" fontId="2" fillId="2" borderId="7" xfId="0" applyFont="1" applyFill="1" applyBorder="1" applyAlignment="1">
      <alignment horizontal="center"/>
    </xf>
    <xf numFmtId="44" fontId="0" fillId="2" borderId="10" xfId="0" applyNumberFormat="1" applyFont="1" applyFill="1" applyBorder="1"/>
    <xf numFmtId="44" fontId="4" fillId="2" borderId="0" xfId="0" applyNumberFormat="1" applyFont="1" applyFill="1" applyBorder="1"/>
    <xf numFmtId="44" fontId="3" fillId="2" borderId="1" xfId="0" applyNumberFormat="1" applyFont="1" applyFill="1" applyBorder="1"/>
    <xf numFmtId="0" fontId="2" fillId="2" borderId="0" xfId="0" applyFont="1" applyFill="1" applyAlignment="1">
      <alignment horizontal="center"/>
    </xf>
    <xf numFmtId="17" fontId="0" fillId="2" borderId="0" xfId="0" applyNumberFormat="1" applyFill="1"/>
    <xf numFmtId="44" fontId="2" fillId="2" borderId="0" xfId="0" applyNumberFormat="1" applyFont="1" applyFill="1" applyBorder="1"/>
    <xf numFmtId="0" fontId="5" fillId="2" borderId="0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center" vertical="center" wrapText="1"/>
    </xf>
    <xf numFmtId="44" fontId="6" fillId="2" borderId="0" xfId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44" fontId="3" fillId="2" borderId="9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B6" sqref="B6"/>
    </sheetView>
  </sheetViews>
  <sheetFormatPr baseColWidth="10" defaultRowHeight="14.4" x14ac:dyDescent="0.3"/>
  <cols>
    <col min="1" max="1" width="5" customWidth="1"/>
    <col min="2" max="2" width="35.88671875" customWidth="1"/>
    <col min="3" max="3" width="11.5546875" customWidth="1"/>
    <col min="4" max="4" width="14" customWidth="1"/>
    <col min="5" max="5" width="12.88671875" customWidth="1"/>
  </cols>
  <sheetData>
    <row r="1" spans="1:6" ht="15" customHeight="1" x14ac:dyDescent="0.3">
      <c r="A1" s="39" t="s">
        <v>20</v>
      </c>
      <c r="B1" s="40"/>
      <c r="C1" s="40"/>
      <c r="D1" s="40"/>
      <c r="E1" s="40"/>
      <c r="F1" s="41"/>
    </row>
    <row r="2" spans="1:6" ht="15.75" customHeight="1" x14ac:dyDescent="0.3">
      <c r="A2" s="42"/>
      <c r="B2" s="43"/>
      <c r="C2" s="43"/>
      <c r="D2" s="43"/>
      <c r="E2" s="43"/>
      <c r="F2" s="44"/>
    </row>
    <row r="3" spans="1:6" x14ac:dyDescent="0.3">
      <c r="A3" s="11"/>
      <c r="B3" s="11" t="s">
        <v>9</v>
      </c>
      <c r="C3" s="20"/>
      <c r="D3" s="5" t="s">
        <v>18</v>
      </c>
      <c r="E3" s="5"/>
      <c r="F3" s="6"/>
    </row>
    <row r="4" spans="1:6" x14ac:dyDescent="0.3">
      <c r="A4" s="11"/>
      <c r="B4" s="11" t="s">
        <v>3</v>
      </c>
      <c r="C4" s="20"/>
      <c r="D4" s="7">
        <v>41169</v>
      </c>
      <c r="E4" s="5"/>
      <c r="F4" s="6"/>
    </row>
    <row r="5" spans="1:6" x14ac:dyDescent="0.3">
      <c r="A5" s="11"/>
      <c r="B5" s="11" t="s">
        <v>4</v>
      </c>
      <c r="C5" s="20"/>
      <c r="D5" s="7">
        <v>42613</v>
      </c>
      <c r="E5" s="5"/>
      <c r="F5" s="6"/>
    </row>
    <row r="6" spans="1:6" x14ac:dyDescent="0.3">
      <c r="A6" s="11"/>
      <c r="B6" s="11" t="s">
        <v>2</v>
      </c>
      <c r="C6" s="20"/>
      <c r="D6" s="2">
        <v>366.67</v>
      </c>
      <c r="E6" s="5"/>
      <c r="F6" s="6"/>
    </row>
    <row r="7" spans="1:6" x14ac:dyDescent="0.3">
      <c r="A7" s="8"/>
      <c r="B7" s="5"/>
      <c r="C7" s="5"/>
      <c r="D7" s="5"/>
      <c r="E7" s="2"/>
      <c r="F7" s="6"/>
    </row>
    <row r="8" spans="1:6" ht="15" customHeight="1" x14ac:dyDescent="0.3">
      <c r="A8" s="8"/>
      <c r="B8" s="37" t="s">
        <v>5</v>
      </c>
      <c r="C8" s="35" t="s">
        <v>8</v>
      </c>
      <c r="D8" s="35" t="s">
        <v>7</v>
      </c>
      <c r="E8" s="36" t="s">
        <v>6</v>
      </c>
      <c r="F8" s="6"/>
    </row>
    <row r="9" spans="1:6" x14ac:dyDescent="0.3">
      <c r="A9" s="8"/>
      <c r="B9" s="38"/>
      <c r="C9" s="35"/>
      <c r="D9" s="35"/>
      <c r="E9" s="36"/>
      <c r="F9" s="6"/>
    </row>
    <row r="10" spans="1:6" x14ac:dyDescent="0.3">
      <c r="A10" s="8"/>
      <c r="B10" s="32" t="s">
        <v>19</v>
      </c>
      <c r="C10" s="33">
        <v>14</v>
      </c>
      <c r="D10" s="33">
        <v>14</v>
      </c>
      <c r="E10" s="34">
        <f>D10*D6</f>
        <v>5133.38</v>
      </c>
      <c r="F10" s="6"/>
    </row>
    <row r="11" spans="1:6" x14ac:dyDescent="0.3">
      <c r="A11" s="25" t="s">
        <v>17</v>
      </c>
      <c r="B11" s="4" t="s">
        <v>0</v>
      </c>
      <c r="C11" s="1">
        <v>244</v>
      </c>
      <c r="D11" s="9">
        <f>(15/366)*C11</f>
        <v>10</v>
      </c>
      <c r="E11" s="2">
        <f>D6*D11</f>
        <v>3666.7000000000003</v>
      </c>
      <c r="F11" s="6"/>
    </row>
    <row r="12" spans="1:6" x14ac:dyDescent="0.3">
      <c r="A12" s="25" t="s">
        <v>17</v>
      </c>
      <c r="B12" s="4" t="s">
        <v>1</v>
      </c>
      <c r="C12" s="1">
        <v>350</v>
      </c>
      <c r="D12" s="9">
        <f>(12/366)*C12</f>
        <v>11.475409836065575</v>
      </c>
      <c r="E12" s="2">
        <f>D12*D6</f>
        <v>4207.6885245901649</v>
      </c>
      <c r="F12" s="6"/>
    </row>
    <row r="13" spans="1:6" x14ac:dyDescent="0.3">
      <c r="A13" s="25" t="s">
        <v>17</v>
      </c>
      <c r="B13" s="14" t="s">
        <v>10</v>
      </c>
      <c r="C13" s="15">
        <v>0.25</v>
      </c>
      <c r="D13" s="16"/>
      <c r="E13" s="17">
        <f>E12*0.25</f>
        <v>1051.9221311475412</v>
      </c>
      <c r="F13" s="6"/>
    </row>
    <row r="14" spans="1:6" x14ac:dyDescent="0.3">
      <c r="A14" s="29" t="s">
        <v>16</v>
      </c>
      <c r="B14" s="4" t="s">
        <v>11</v>
      </c>
      <c r="C14" s="5"/>
      <c r="D14" s="13"/>
      <c r="E14" s="10">
        <f>SUM(E10:E13)</f>
        <v>14059.690655737706</v>
      </c>
      <c r="F14" s="6"/>
    </row>
    <row r="15" spans="1:6" x14ac:dyDescent="0.3">
      <c r="A15" s="29" t="s">
        <v>17</v>
      </c>
      <c r="B15" s="14" t="s">
        <v>12</v>
      </c>
      <c r="C15" s="14"/>
      <c r="D15" s="23"/>
      <c r="E15" s="26">
        <f>E14*0.05</f>
        <v>702.98453278688532</v>
      </c>
      <c r="F15" s="20"/>
    </row>
    <row r="16" spans="1:6" x14ac:dyDescent="0.3">
      <c r="A16" s="29" t="s">
        <v>16</v>
      </c>
      <c r="B16" s="4" t="s">
        <v>13</v>
      </c>
      <c r="C16" s="22"/>
      <c r="D16" s="27"/>
      <c r="E16" s="31">
        <f>E14+E15</f>
        <v>14762.675188524592</v>
      </c>
      <c r="F16" s="20"/>
    </row>
    <row r="17" spans="1:6" ht="15" thickBot="1" x14ac:dyDescent="0.35">
      <c r="A17" s="29" t="s">
        <v>17</v>
      </c>
      <c r="B17" s="3" t="s">
        <v>14</v>
      </c>
      <c r="C17" s="19"/>
      <c r="D17" s="28"/>
      <c r="E17" s="24">
        <f>E16*0.16</f>
        <v>2362.028030163935</v>
      </c>
      <c r="F17" s="20"/>
    </row>
    <row r="18" spans="1:6" ht="15" thickTop="1" x14ac:dyDescent="0.3">
      <c r="A18" s="29" t="s">
        <v>16</v>
      </c>
      <c r="B18" s="4" t="s">
        <v>15</v>
      </c>
      <c r="C18" s="30"/>
      <c r="D18" s="20"/>
      <c r="E18" s="18">
        <f>E16+E17</f>
        <v>17124.703218688526</v>
      </c>
      <c r="F18" s="21"/>
    </row>
    <row r="19" spans="1:6" x14ac:dyDescent="0.3">
      <c r="C19" s="12"/>
    </row>
    <row r="20" spans="1:6" x14ac:dyDescent="0.3">
      <c r="C20" s="12"/>
    </row>
  </sheetData>
  <mergeCells count="5">
    <mergeCell ref="A1:F2"/>
    <mergeCell ref="B8:B9"/>
    <mergeCell ref="C8:C9"/>
    <mergeCell ref="D8:D9"/>
    <mergeCell ref="E8:E9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Nancy Perez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</dc:creator>
  <cp:lastModifiedBy>Angelica Valdes</cp:lastModifiedBy>
  <dcterms:created xsi:type="dcterms:W3CDTF">2015-03-11T17:55:14Z</dcterms:created>
  <dcterms:modified xsi:type="dcterms:W3CDTF">2017-02-07T16:41:34Z</dcterms:modified>
</cp:coreProperties>
</file>